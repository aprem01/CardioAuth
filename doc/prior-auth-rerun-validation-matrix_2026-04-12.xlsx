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3f839ead2e18c37/Desktop/PriorAuth/"/>
    </mc:Choice>
  </mc:AlternateContent>
  <xr:revisionPtr revIDLastSave="0" documentId="8_{D689BE80-BE48-440E-9C24-A56D7D5C9542}" xr6:coauthVersionLast="47" xr6:coauthVersionMax="47" xr10:uidLastSave="{00000000-0000-0000-0000-000000000000}"/>
  <bookViews>
    <workbookView xWindow="6756" yWindow="3864" windowWidth="21048" windowHeight="10884" tabRatio="500" xr2:uid="{00000000-000D-0000-FFFF-FFFF00000000}"/>
  </bookViews>
  <sheets>
    <sheet name="Claude Only" sheetId="1" r:id="rId1"/>
    <sheet name="Comprehend + Claude" sheetId="2" r:id="rId2"/>
    <sheet name="Comprehend Only" sheetId="3" r:id="rId3"/>
    <sheet name="Codebook" sheetId="4" r:id="rId4"/>
  </sheets>
  <calcPr calcId="181029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9" i="3" l="1"/>
  <c r="B5" i="3"/>
  <c r="B8" i="3" s="1"/>
  <c r="B9" i="2"/>
  <c r="B5" i="2"/>
  <c r="B8" i="2" s="1"/>
  <c r="B9" i="1"/>
  <c r="B5" i="1"/>
  <c r="B8" i="1" s="1"/>
  <c r="B7" i="2" l="1"/>
  <c r="B6" i="2"/>
  <c r="B6" i="1"/>
  <c r="B7" i="1"/>
  <c r="B6" i="3"/>
  <c r="B7" i="3"/>
</calcChain>
</file>

<file path=xl/sharedStrings.xml><?xml version="1.0" encoding="utf-8"?>
<sst xmlns="http://schemas.openxmlformats.org/spreadsheetml/2006/main" count="438" uniqueCount="87">
  <si>
    <t>Prior Auth Validation Retest — Claude Only</t>
  </si>
  <si>
    <t>Same 5 cases as the original matrix. Fill in the new predicted approval probability and criterion scores for this mode. Use 11 / 12 / 21 / 22 / 4 / n/a.</t>
  </si>
  <si>
    <t>Summary Metric</t>
  </si>
  <si>
    <t>Result</t>
  </si>
  <si>
    <t>Total scored criteria</t>
  </si>
  <si>
    <t>Correct criterion status</t>
  </si>
  <si>
    <t>Wrong evidence source</t>
  </si>
  <si>
    <t>Completely missed</t>
  </si>
  <si>
    <t>Average predicted approval probability</t>
  </si>
  <si>
    <t>Case_ID</t>
  </si>
  <si>
    <t>Payer</t>
  </si>
  <si>
    <t>CPT_Code</t>
  </si>
  <si>
    <t>Predicted_Approval_Probability</t>
  </si>
  <si>
    <t>Actual_Outcome</t>
  </si>
  <si>
    <t>BMI-001</t>
  </si>
  <si>
    <t>BMI-002</t>
  </si>
  <si>
    <t>DOC-001</t>
  </si>
  <si>
    <t>ECG-001</t>
  </si>
  <si>
    <t>ECG-002</t>
  </si>
  <si>
    <t>ECG-003</t>
  </si>
  <si>
    <t>ECG-004</t>
  </si>
  <si>
    <t>EX-001</t>
  </si>
  <si>
    <t>FREQ-001</t>
  </si>
  <si>
    <t>GUI-001</t>
  </si>
  <si>
    <t>HT-001</t>
  </si>
  <si>
    <t>IMG-001</t>
  </si>
  <si>
    <t>IMG-002</t>
  </si>
  <si>
    <t>LVEF-001</t>
  </si>
  <si>
    <t>LVEF-002</t>
  </si>
  <si>
    <t>MED-001</t>
  </si>
  <si>
    <t>MED-002</t>
  </si>
  <si>
    <t>MED-003</t>
  </si>
  <si>
    <t>NDX-001</t>
  </si>
  <si>
    <t>NDX-002</t>
  </si>
  <si>
    <t>NDX-003</t>
  </si>
  <si>
    <t>NDX-004</t>
  </si>
  <si>
    <t>RISK-001</t>
  </si>
  <si>
    <t>RISK-002</t>
  </si>
  <si>
    <t>RISK-003</t>
  </si>
  <si>
    <t>SX-001</t>
  </si>
  <si>
    <t>SX-002</t>
  </si>
  <si>
    <t>SX-003</t>
  </si>
  <si>
    <t>SX-004</t>
  </si>
  <si>
    <t>ANTI-001</t>
  </si>
  <si>
    <t>ANTI-002</t>
  </si>
  <si>
    <t>C1</t>
  </si>
  <si>
    <t>UHC</t>
  </si>
  <si>
    <t>Approved</t>
  </si>
  <si>
    <t>n/a</t>
  </si>
  <si>
    <t>C2</t>
  </si>
  <si>
    <t>BCBS</t>
  </si>
  <si>
    <t>C3</t>
  </si>
  <si>
    <t>C4</t>
  </si>
  <si>
    <t>C5</t>
  </si>
  <si>
    <t>Prior Auth Validation Retest — Comprehend + Claude</t>
  </si>
  <si>
    <t>Prior Auth Validation Retest — Comprehend Only</t>
  </si>
  <si>
    <t>Validation Codebook + Instructions</t>
  </si>
  <si>
    <t>Code</t>
  </si>
  <si>
    <t>Meaning</t>
  </si>
  <si>
    <t>How to use</t>
  </si>
  <si>
    <t>Notes</t>
  </si>
  <si>
    <t>11</t>
  </si>
  <si>
    <t>Criterion met correctly AND evidence matches correctly</t>
  </si>
  <si>
    <t>Run the same 5 cases in each extraction mode</t>
  </si>
  <si>
    <t>Counts as correct criterion status</t>
  </si>
  <si>
    <t>12</t>
  </si>
  <si>
    <t>Criterion met correctly BUT evidence does NOT match correctly</t>
  </si>
  <si>
    <t>Enter predicted approval probability for each case</t>
  </si>
  <si>
    <t>Counts as correct criterion status + wrong evidence</t>
  </si>
  <si>
    <t>21</t>
  </si>
  <si>
    <t>Criterion not met correctly AND evidence matches correctly</t>
  </si>
  <si>
    <t>Score each criterion using the codebook values</t>
  </si>
  <si>
    <t>22</t>
  </si>
  <si>
    <t>Criterion not met correctly BUT evidence does NOT match correctly</t>
  </si>
  <si>
    <t>Use n/a when the criterion is not clinically relevant to the case</t>
  </si>
  <si>
    <t>4</t>
  </si>
  <si>
    <t>Criterion should have been identified as met or not met but was completely missed</t>
  </si>
  <si>
    <t>Compare the three run sheets side by side after scoring</t>
  </si>
  <si>
    <t>Counts as completely missed</t>
  </si>
  <si>
    <t>Criterion not clinically relevant / not applicable to the case</t>
  </si>
  <si>
    <t>Focus especially on DOC-001, SX-004, wrong evidence rate, and miss rate</t>
  </si>
  <si>
    <t>Excluded from summary calculations</t>
  </si>
  <si>
    <t>Summary formulas used on each run sheet</t>
  </si>
  <si>
    <t>count of 11, 12, 21, 22, and 4</t>
  </si>
  <si>
    <t>(11 + 12 + 21 + 22) / total scored criteria</t>
  </si>
  <si>
    <t>(12 + 22) / total scored criteria</t>
  </si>
  <si>
    <t>count of 4 / total scored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</si>
</sst>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rgb="FF000000"/>
      <name val="Calibri"/>
      <charset val="1"/>
    </font>
    <font>
      <b/>
      <sz val="14"/>
      <color rgb="FFFFFFFF"/>
      <name val="Calibri"/>
      <charset val="1"/>
    </font>
    <font>
      <sz val="11"/>
      <color theme="1"/>
      <name val="Calibri"/>
      <charset val="1"/>
    </font>
    <font>
      <i/>
      <sz val="10"/>
      <color rgb="FF555555"/>
      <name val="Calibri"/>
      <charset val="1"/>
    </font>
    <font>
      <b/>
      <sz val="11"/>
      <color rgb="FFFFFFFF"/>
      <name val="Calibri"/>
      <charset val="1"/>
    </font>
    <font>
      <b/>
      <sz val="11"/>
      <color theme="1"/>
      <name val="Calibri"/>
      <charset val="1"/>
    </font>
    <font>
      <b/>
      <sz val="10"/>
      <color rgb="FFFFFFFF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3F5F7"/>
        <bgColor rgb="FFF9FBFD"/>
      </patternFill>
    </fill>
    <fill>
      <patternFill patternType="solid">
        <fgColor rgb="FFF9FBFD"/>
        <bgColor rgb="FFFFFFFF"/>
      </patternFill>
    </fill>
    <fill>
      <patternFill patternType="solid">
        <fgColor rgb="FFDCE6F1"/>
        <b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center" wrapText="1"/>
    </xf>
    <xf numFmtId="0" fontId="5" fillId="0" borderId="0" xfId="0" applyFont="1" applyAlignment="1">
      <alignment wrapText="1"/>
    </xf>
    <xf numFmtId="1" fontId="2" fillId="4" borderId="0" xfId="0" applyNumberFormat="1" applyFont="1" applyFill="1" applyAlignment="1">
      <alignment wrapText="1"/>
    </xf>
    <xf numFmtId="9" fontId="2" fillId="4" borderId="0" xfId="0" applyNumberFormat="1" applyFont="1" applyFill="1" applyAlignment="1">
      <alignment wrapText="1"/>
    </xf>
    <xf numFmtId="164" fontId="2" fillId="4" borderId="0" xfId="0" applyNumberFormat="1" applyFont="1" applyFill="1" applyAlignment="1">
      <alignment wrapText="1"/>
    </xf>
    <xf numFmtId="0" fontId="6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wrapText="1"/>
    </xf>
    <xf numFmtId="0" fontId="2" fillId="0" borderId="0" xfId="0" applyFont="1" applyAlignment="1">
      <alignment horizontal="center" wrapText="1"/>
    </xf>
    <xf numFmtId="0" fontId="5" fillId="3" borderId="0" xfId="0" applyFont="1" applyFill="1" applyAlignment="1">
      <alignment wrapText="1"/>
    </xf>
  </cellXfs>
  <cellStyles count="1">
    <cellStyle name="Normal" xfId="0" builtinId="0"/>
  </cellStyles>
  <dxfs count="12">
    <dxf>
      <fill>
        <patternFill>
          <bgColor rgb="FFEA9999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A9999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A9999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E2F0D9"/>
      <rgbColor rgb="FFF9FBF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3:AJ18" totalsRowShown="0">
  <tableColumns count="36">
    <tableColumn id="1" xr3:uid="{00000000-0010-0000-0000-000001000000}" name="Case_ID"/>
    <tableColumn id="2" xr3:uid="{00000000-0010-0000-0000-000002000000}" name="Payer"/>
    <tableColumn id="3" xr3:uid="{00000000-0010-0000-0000-000003000000}" name="CPT_Code"/>
    <tableColumn id="4" xr3:uid="{00000000-0010-0000-0000-000004000000}" name="Predicted_Approval_Probability"/>
    <tableColumn id="5" xr3:uid="{00000000-0010-0000-0000-000005000000}" name="Actual_Outcome"/>
    <tableColumn id="6" xr3:uid="{00000000-0010-0000-0000-000006000000}" name="BMI-001"/>
    <tableColumn id="7" xr3:uid="{00000000-0010-0000-0000-000007000000}" name="BMI-002"/>
    <tableColumn id="8" xr3:uid="{00000000-0010-0000-0000-000008000000}" name="DOC-001"/>
    <tableColumn id="9" xr3:uid="{00000000-0010-0000-0000-000009000000}" name="ECG-001"/>
    <tableColumn id="10" xr3:uid="{00000000-0010-0000-0000-00000A000000}" name="ECG-002"/>
    <tableColumn id="11" xr3:uid="{00000000-0010-0000-0000-00000B000000}" name="ECG-003"/>
    <tableColumn id="12" xr3:uid="{00000000-0010-0000-0000-00000C000000}" name="ECG-004"/>
    <tableColumn id="13" xr3:uid="{00000000-0010-0000-0000-00000D000000}" name="EX-001"/>
    <tableColumn id="14" xr3:uid="{00000000-0010-0000-0000-00000E000000}" name="FREQ-001"/>
    <tableColumn id="15" xr3:uid="{00000000-0010-0000-0000-00000F000000}" name="GUI-001"/>
    <tableColumn id="16" xr3:uid="{00000000-0010-0000-0000-000010000000}" name="HT-001"/>
    <tableColumn id="17" xr3:uid="{00000000-0010-0000-0000-000011000000}" name="IMG-001"/>
    <tableColumn id="18" xr3:uid="{00000000-0010-0000-0000-000012000000}" name="IMG-002"/>
    <tableColumn id="19" xr3:uid="{00000000-0010-0000-0000-000013000000}" name="LVEF-001"/>
    <tableColumn id="20" xr3:uid="{00000000-0010-0000-0000-000014000000}" name="LVEF-002"/>
    <tableColumn id="21" xr3:uid="{00000000-0010-0000-0000-000015000000}" name="MED-001"/>
    <tableColumn id="22" xr3:uid="{00000000-0010-0000-0000-000016000000}" name="MED-002"/>
    <tableColumn id="23" xr3:uid="{00000000-0010-0000-0000-000017000000}" name="MED-003"/>
    <tableColumn id="24" xr3:uid="{00000000-0010-0000-0000-000018000000}" name="NDX-001"/>
    <tableColumn id="25" xr3:uid="{00000000-0010-0000-0000-000019000000}" name="NDX-002"/>
    <tableColumn id="26" xr3:uid="{00000000-0010-0000-0000-00001A000000}" name="NDX-003"/>
    <tableColumn id="27" xr3:uid="{00000000-0010-0000-0000-00001B000000}" name="NDX-004"/>
    <tableColumn id="28" xr3:uid="{00000000-0010-0000-0000-00001C000000}" name="RISK-001"/>
    <tableColumn id="29" xr3:uid="{00000000-0010-0000-0000-00001D000000}" name="RISK-002"/>
    <tableColumn id="30" xr3:uid="{00000000-0010-0000-0000-00001E000000}" name="RISK-003"/>
    <tableColumn id="31" xr3:uid="{00000000-0010-0000-0000-00001F000000}" name="SX-001"/>
    <tableColumn id="32" xr3:uid="{00000000-0010-0000-0000-000020000000}" name="SX-002"/>
    <tableColumn id="33" xr3:uid="{00000000-0010-0000-0000-000021000000}" name="SX-003"/>
    <tableColumn id="34" xr3:uid="{00000000-0010-0000-0000-000022000000}" name="SX-004"/>
    <tableColumn id="35" xr3:uid="{00000000-0010-0000-0000-000023000000}" name="ANTI-001"/>
    <tableColumn id="36" xr3:uid="{00000000-0010-0000-0000-000024000000}" name="ANTI-00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14:C18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3:AJ18" totalsRowShown="0">
  <tableColumns count="36">
    <tableColumn id="1" xr3:uid="{00000000-0010-0000-0200-000001000000}" name="Case_ID"/>
    <tableColumn id="2" xr3:uid="{00000000-0010-0000-0200-000002000000}" name="Payer"/>
    <tableColumn id="3" xr3:uid="{00000000-0010-0000-0200-000003000000}" name="CPT_Code"/>
    <tableColumn id="4" xr3:uid="{00000000-0010-0000-0200-000004000000}" name="Predicted_Approval_Probability"/>
    <tableColumn id="5" xr3:uid="{00000000-0010-0000-0200-000005000000}" name="Actual_Outcome"/>
    <tableColumn id="6" xr3:uid="{00000000-0010-0000-0200-000006000000}" name="BMI-001"/>
    <tableColumn id="7" xr3:uid="{00000000-0010-0000-0200-000007000000}" name="BMI-002"/>
    <tableColumn id="8" xr3:uid="{00000000-0010-0000-0200-000008000000}" name="DOC-001"/>
    <tableColumn id="9" xr3:uid="{00000000-0010-0000-0200-000009000000}" name="ECG-001"/>
    <tableColumn id="10" xr3:uid="{00000000-0010-0000-0200-00000A000000}" name="ECG-002"/>
    <tableColumn id="11" xr3:uid="{00000000-0010-0000-0200-00000B000000}" name="ECG-003"/>
    <tableColumn id="12" xr3:uid="{00000000-0010-0000-0200-00000C000000}" name="ECG-004"/>
    <tableColumn id="13" xr3:uid="{00000000-0010-0000-0200-00000D000000}" name="EX-001"/>
    <tableColumn id="14" xr3:uid="{00000000-0010-0000-0200-00000E000000}" name="FREQ-001"/>
    <tableColumn id="15" xr3:uid="{00000000-0010-0000-0200-00000F000000}" name="GUI-001"/>
    <tableColumn id="16" xr3:uid="{00000000-0010-0000-0200-000010000000}" name="HT-001"/>
    <tableColumn id="17" xr3:uid="{00000000-0010-0000-0200-000011000000}" name="IMG-001"/>
    <tableColumn id="18" xr3:uid="{00000000-0010-0000-0200-000012000000}" name="IMG-002"/>
    <tableColumn id="19" xr3:uid="{00000000-0010-0000-0200-000013000000}" name="LVEF-001"/>
    <tableColumn id="20" xr3:uid="{00000000-0010-0000-0200-000014000000}" name="LVEF-002"/>
    <tableColumn id="21" xr3:uid="{00000000-0010-0000-0200-000015000000}" name="MED-001"/>
    <tableColumn id="22" xr3:uid="{00000000-0010-0000-0200-000016000000}" name="MED-002"/>
    <tableColumn id="23" xr3:uid="{00000000-0010-0000-0200-000017000000}" name="MED-003"/>
    <tableColumn id="24" xr3:uid="{00000000-0010-0000-0200-000018000000}" name="NDX-001"/>
    <tableColumn id="25" xr3:uid="{00000000-0010-0000-0200-000019000000}" name="NDX-002"/>
    <tableColumn id="26" xr3:uid="{00000000-0010-0000-0200-00001A000000}" name="NDX-003"/>
    <tableColumn id="27" xr3:uid="{00000000-0010-0000-0200-00001B000000}" name="NDX-004"/>
    <tableColumn id="28" xr3:uid="{00000000-0010-0000-0200-00001C000000}" name="RISK-001"/>
    <tableColumn id="29" xr3:uid="{00000000-0010-0000-0200-00001D000000}" name="RISK-002"/>
    <tableColumn id="30" xr3:uid="{00000000-0010-0000-0200-00001E000000}" name="RISK-003"/>
    <tableColumn id="31" xr3:uid="{00000000-0010-0000-0200-00001F000000}" name="SX-001"/>
    <tableColumn id="32" xr3:uid="{00000000-0010-0000-0200-000020000000}" name="SX-002"/>
    <tableColumn id="33" xr3:uid="{00000000-0010-0000-0200-000021000000}" name="SX-003"/>
    <tableColumn id="34" xr3:uid="{00000000-0010-0000-0200-000022000000}" name="SX-004"/>
    <tableColumn id="35" xr3:uid="{00000000-0010-0000-0200-000023000000}" name="ANTI-001"/>
    <tableColumn id="36" xr3:uid="{00000000-0010-0000-0200-000024000000}" name="ANTI-00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zoomScaleNormal="100" workbookViewId="0">
      <selection sqref="A1:F1"/>
    </sheetView>
  </sheetViews>
  <sheetFormatPr defaultColWidth="12.6640625" defaultRowHeight="15" customHeight="1" x14ac:dyDescent="0.3"/>
  <cols>
    <col min="1" max="1" width="12" customWidth="1"/>
    <col min="2" max="2" width="14" customWidth="1"/>
    <col min="3" max="3" width="10.88671875" customWidth="1"/>
    <col min="4" max="4" width="16" customWidth="1"/>
    <col min="5" max="5" width="18.109375" customWidth="1"/>
    <col min="6" max="7" width="9.109375" customWidth="1"/>
    <col min="8" max="8" width="9.6640625" customWidth="1"/>
    <col min="9" max="12" width="9.109375" customWidth="1"/>
    <col min="13" max="13" width="7.33203125" customWidth="1"/>
    <col min="14" max="14" width="10.6640625" customWidth="1"/>
    <col min="15" max="15" width="8.88671875" customWidth="1"/>
    <col min="16" max="16" width="7.6640625" customWidth="1"/>
    <col min="17" max="18" width="9.33203125" customWidth="1"/>
    <col min="19" max="20" width="9.77734375" customWidth="1"/>
    <col min="21" max="23" width="10" customWidth="1"/>
    <col min="24" max="30" width="9.33203125" customWidth="1"/>
    <col min="31" max="34" width="7.21875" customWidth="1"/>
    <col min="35" max="36" width="10" customWidth="1"/>
  </cols>
  <sheetData>
    <row r="1" spans="1:36" ht="18.75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ht="15.75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ht="15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ht="13.5" customHeight="1" x14ac:dyDescent="0.3">
      <c r="A4" s="5" t="s">
        <v>2</v>
      </c>
      <c r="B4" s="5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ht="13.5" customHeight="1" x14ac:dyDescent="0.3">
      <c r="A5" s="6" t="s">
        <v>4</v>
      </c>
      <c r="B5" s="7">
        <f>COUNTIF(F14:AJ18,"11")+COUNTIF(F14:AJ18,"12")+COUNTIF(F14:AJ18,"21")+COUNTIF(F14:AJ18,"22")+COUNTIF(F14:AJ18,"4")</f>
        <v>82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ht="13.5" customHeight="1" x14ac:dyDescent="0.3">
      <c r="A6" s="6" t="s">
        <v>5</v>
      </c>
      <c r="B6" s="8">
        <f>IF(B5=0,"",(COUNTIF(F14:AJ18,"11")+COUNTIF(F14:AJ18,"12")+COUNTIF(F14:AJ18,"21")+COUNTIF(F14:AJ18,"22"))/B5)</f>
        <v>0.91463414634146345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ht="13.5" customHeight="1" x14ac:dyDescent="0.3">
      <c r="A7" s="6" t="s">
        <v>6</v>
      </c>
      <c r="B7" s="8">
        <f>IF(B5=0,"",(COUNTIF(F14:AJ18,"12")+COUNTIF(F14:AJ18,"22"))/B5)</f>
        <v>8.5365853658536592E-2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ht="13.5" customHeight="1" x14ac:dyDescent="0.3">
      <c r="A8" s="6" t="s">
        <v>7</v>
      </c>
      <c r="B8" s="8">
        <f>IF(B5=0,"",COUNTIF(F14:AJ18,"4")/B5)</f>
        <v>8.5365853658536592E-2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ht="13.5" customHeight="1" x14ac:dyDescent="0.3">
      <c r="A9" s="6" t="s">
        <v>8</v>
      </c>
      <c r="B9" s="8">
        <f>IF(COUNT(D14:D18)=0,"",AVERAGE(D14:D18))</f>
        <v>0.36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ht="13.5" customHeight="1" x14ac:dyDescent="0.3">
      <c r="A10" s="6"/>
      <c r="B10" s="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ht="13.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 ht="13.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 ht="27" customHeight="1" x14ac:dyDescent="0.3">
      <c r="A13" s="10" t="s">
        <v>9</v>
      </c>
      <c r="B13" s="10" t="s">
        <v>10</v>
      </c>
      <c r="C13" s="10" t="s">
        <v>11</v>
      </c>
      <c r="D13" s="10" t="s">
        <v>12</v>
      </c>
      <c r="E13" s="10" t="s">
        <v>13</v>
      </c>
      <c r="F13" s="10" t="s">
        <v>14</v>
      </c>
      <c r="G13" s="10" t="s">
        <v>15</v>
      </c>
      <c r="H13" s="10" t="s">
        <v>16</v>
      </c>
      <c r="I13" s="10" t="s">
        <v>17</v>
      </c>
      <c r="J13" s="10" t="s">
        <v>18</v>
      </c>
      <c r="K13" s="10" t="s">
        <v>19</v>
      </c>
      <c r="L13" s="10" t="s">
        <v>20</v>
      </c>
      <c r="M13" s="10" t="s">
        <v>21</v>
      </c>
      <c r="N13" s="10" t="s">
        <v>22</v>
      </c>
      <c r="O13" s="10" t="s">
        <v>23</v>
      </c>
      <c r="P13" s="10" t="s">
        <v>24</v>
      </c>
      <c r="Q13" s="10" t="s">
        <v>25</v>
      </c>
      <c r="R13" s="10" t="s">
        <v>26</v>
      </c>
      <c r="S13" s="10" t="s">
        <v>27</v>
      </c>
      <c r="T13" s="10" t="s">
        <v>28</v>
      </c>
      <c r="U13" s="10" t="s">
        <v>29</v>
      </c>
      <c r="V13" s="10" t="s">
        <v>30</v>
      </c>
      <c r="W13" s="10" t="s">
        <v>31</v>
      </c>
      <c r="X13" s="10" t="s">
        <v>32</v>
      </c>
      <c r="Y13" s="10" t="s">
        <v>33</v>
      </c>
      <c r="Z13" s="10" t="s">
        <v>34</v>
      </c>
      <c r="AA13" s="10" t="s">
        <v>35</v>
      </c>
      <c r="AB13" s="10" t="s">
        <v>36</v>
      </c>
      <c r="AC13" s="10" t="s">
        <v>37</v>
      </c>
      <c r="AD13" s="10" t="s">
        <v>38</v>
      </c>
      <c r="AE13" s="10" t="s">
        <v>39</v>
      </c>
      <c r="AF13" s="10" t="s">
        <v>40</v>
      </c>
      <c r="AG13" s="10" t="s">
        <v>41</v>
      </c>
      <c r="AH13" s="10" t="s">
        <v>42</v>
      </c>
      <c r="AI13" s="10" t="s">
        <v>43</v>
      </c>
      <c r="AJ13" s="10" t="s">
        <v>44</v>
      </c>
    </row>
    <row r="14" spans="1:36" ht="15.75" customHeight="1" x14ac:dyDescent="0.3">
      <c r="A14" s="11" t="s">
        <v>45</v>
      </c>
      <c r="B14" s="11" t="s">
        <v>46</v>
      </c>
      <c r="C14" s="11">
        <v>78492</v>
      </c>
      <c r="D14" s="8">
        <v>0.62</v>
      </c>
      <c r="E14" s="11" t="s">
        <v>47</v>
      </c>
      <c r="F14" s="12">
        <v>11</v>
      </c>
      <c r="G14" s="12" t="s">
        <v>48</v>
      </c>
      <c r="H14" s="12">
        <v>4</v>
      </c>
      <c r="I14" s="12">
        <v>21</v>
      </c>
      <c r="J14" s="12">
        <v>21</v>
      </c>
      <c r="K14" s="12" t="s">
        <v>48</v>
      </c>
      <c r="L14" s="12" t="s">
        <v>48</v>
      </c>
      <c r="M14" s="12" t="s">
        <v>48</v>
      </c>
      <c r="N14" s="12">
        <v>11</v>
      </c>
      <c r="O14" s="12">
        <v>21</v>
      </c>
      <c r="P14" s="12" t="s">
        <v>48</v>
      </c>
      <c r="Q14" s="12" t="s">
        <v>48</v>
      </c>
      <c r="R14" s="12" t="s">
        <v>48</v>
      </c>
      <c r="S14" s="12" t="s">
        <v>48</v>
      </c>
      <c r="T14" s="12">
        <v>21</v>
      </c>
      <c r="U14" s="12" t="s">
        <v>48</v>
      </c>
      <c r="V14" s="12">
        <v>21</v>
      </c>
      <c r="W14" s="12" t="s">
        <v>48</v>
      </c>
      <c r="X14" s="12">
        <v>21</v>
      </c>
      <c r="Y14" s="12" t="s">
        <v>48</v>
      </c>
      <c r="Z14" s="12" t="s">
        <v>48</v>
      </c>
      <c r="AA14" s="12">
        <v>21</v>
      </c>
      <c r="AB14" s="12" t="s">
        <v>48</v>
      </c>
      <c r="AC14" s="12">
        <v>11</v>
      </c>
      <c r="AD14" s="12">
        <v>21</v>
      </c>
      <c r="AE14" s="12">
        <v>21</v>
      </c>
      <c r="AF14" s="12">
        <v>4</v>
      </c>
      <c r="AG14" s="12">
        <v>4</v>
      </c>
      <c r="AH14" s="12">
        <v>21</v>
      </c>
      <c r="AI14" s="12" t="s">
        <v>48</v>
      </c>
      <c r="AJ14" s="12" t="s">
        <v>48</v>
      </c>
    </row>
    <row r="15" spans="1:36" ht="15.75" customHeight="1" x14ac:dyDescent="0.3">
      <c r="A15" s="11" t="s">
        <v>49</v>
      </c>
      <c r="B15" s="11" t="s">
        <v>50</v>
      </c>
      <c r="C15" s="11">
        <v>78492</v>
      </c>
      <c r="D15" s="8">
        <v>0.22</v>
      </c>
      <c r="E15" s="11" t="s">
        <v>47</v>
      </c>
      <c r="F15" s="12">
        <v>11</v>
      </c>
      <c r="G15" s="12" t="s">
        <v>48</v>
      </c>
      <c r="H15" s="12">
        <v>4</v>
      </c>
      <c r="I15" s="12">
        <v>21</v>
      </c>
      <c r="J15" s="12">
        <v>21</v>
      </c>
      <c r="K15" s="12" t="s">
        <v>48</v>
      </c>
      <c r="L15" s="12" t="s">
        <v>48</v>
      </c>
      <c r="M15" s="12">
        <v>11</v>
      </c>
      <c r="N15" s="12">
        <v>11</v>
      </c>
      <c r="O15" s="12">
        <v>21</v>
      </c>
      <c r="P15" s="12" t="s">
        <v>48</v>
      </c>
      <c r="Q15" s="12" t="s">
        <v>48</v>
      </c>
      <c r="R15" s="12" t="s">
        <v>48</v>
      </c>
      <c r="S15" s="12" t="s">
        <v>48</v>
      </c>
      <c r="T15" s="12">
        <v>21</v>
      </c>
      <c r="U15" s="12" t="s">
        <v>48</v>
      </c>
      <c r="V15" s="12">
        <v>21</v>
      </c>
      <c r="W15" s="12" t="s">
        <v>48</v>
      </c>
      <c r="X15" s="12">
        <v>21</v>
      </c>
      <c r="Y15" s="12" t="s">
        <v>48</v>
      </c>
      <c r="Z15" s="12" t="s">
        <v>48</v>
      </c>
      <c r="AA15" s="12" t="s">
        <v>48</v>
      </c>
      <c r="AB15" s="12" t="s">
        <v>48</v>
      </c>
      <c r="AC15" s="12">
        <v>11</v>
      </c>
      <c r="AD15" s="12">
        <v>21</v>
      </c>
      <c r="AE15" s="12">
        <v>21</v>
      </c>
      <c r="AF15" s="12">
        <v>21</v>
      </c>
      <c r="AG15" s="12">
        <v>11</v>
      </c>
      <c r="AH15" s="12">
        <v>21</v>
      </c>
      <c r="AI15" s="12" t="s">
        <v>48</v>
      </c>
      <c r="AJ15" s="12" t="s">
        <v>48</v>
      </c>
    </row>
    <row r="16" spans="1:36" ht="15.75" customHeight="1" x14ac:dyDescent="0.3">
      <c r="A16" s="11" t="s">
        <v>51</v>
      </c>
      <c r="B16" s="11" t="s">
        <v>50</v>
      </c>
      <c r="C16" s="11">
        <v>78452</v>
      </c>
      <c r="D16" s="8">
        <v>0.12</v>
      </c>
      <c r="E16" s="11" t="s">
        <v>47</v>
      </c>
      <c r="F16" s="12">
        <v>22</v>
      </c>
      <c r="G16" s="12" t="s">
        <v>48</v>
      </c>
      <c r="H16" s="12">
        <v>4</v>
      </c>
      <c r="I16" s="12">
        <v>21</v>
      </c>
      <c r="J16" s="12">
        <v>21</v>
      </c>
      <c r="K16" s="12" t="s">
        <v>48</v>
      </c>
      <c r="L16" s="12" t="s">
        <v>48</v>
      </c>
      <c r="M16" s="12">
        <v>21</v>
      </c>
      <c r="N16" s="12">
        <v>21</v>
      </c>
      <c r="O16" s="12">
        <v>21</v>
      </c>
      <c r="P16" s="12" t="s">
        <v>48</v>
      </c>
      <c r="Q16" s="12" t="s">
        <v>48</v>
      </c>
      <c r="R16" s="12" t="s">
        <v>48</v>
      </c>
      <c r="S16" s="12" t="s">
        <v>48</v>
      </c>
      <c r="T16" s="12">
        <v>21</v>
      </c>
      <c r="U16" s="12" t="s">
        <v>48</v>
      </c>
      <c r="V16" s="12" t="s">
        <v>48</v>
      </c>
      <c r="W16" s="12" t="s">
        <v>48</v>
      </c>
      <c r="X16" s="12">
        <v>21</v>
      </c>
      <c r="Y16" s="12">
        <v>21</v>
      </c>
      <c r="Z16" s="12">
        <v>21</v>
      </c>
      <c r="AA16" s="12" t="s">
        <v>48</v>
      </c>
      <c r="AB16" s="12" t="s">
        <v>48</v>
      </c>
      <c r="AC16" s="12">
        <v>12</v>
      </c>
      <c r="AD16" s="12">
        <v>21</v>
      </c>
      <c r="AE16" s="12">
        <v>21</v>
      </c>
      <c r="AF16" s="12">
        <v>21</v>
      </c>
      <c r="AG16" s="12">
        <v>11</v>
      </c>
      <c r="AH16" s="12">
        <v>21</v>
      </c>
      <c r="AI16" s="12" t="s">
        <v>48</v>
      </c>
      <c r="AJ16" s="12" t="s">
        <v>48</v>
      </c>
    </row>
    <row r="17" spans="1:36" ht="15.75" customHeight="1" x14ac:dyDescent="0.3">
      <c r="A17" s="11" t="s">
        <v>52</v>
      </c>
      <c r="B17" s="11" t="s">
        <v>50</v>
      </c>
      <c r="C17" s="11">
        <v>78492</v>
      </c>
      <c r="D17" s="8">
        <v>0.32</v>
      </c>
      <c r="E17" s="11" t="s">
        <v>47</v>
      </c>
      <c r="F17" s="12">
        <v>11</v>
      </c>
      <c r="G17" s="12">
        <v>11</v>
      </c>
      <c r="H17" s="12">
        <v>4</v>
      </c>
      <c r="I17" s="12">
        <v>21</v>
      </c>
      <c r="J17" s="12">
        <v>21</v>
      </c>
      <c r="K17" s="12" t="s">
        <v>48</v>
      </c>
      <c r="L17" s="12" t="s">
        <v>48</v>
      </c>
      <c r="M17" s="12" t="s">
        <v>48</v>
      </c>
      <c r="N17" s="12">
        <v>22</v>
      </c>
      <c r="O17" s="12">
        <v>21</v>
      </c>
      <c r="P17" s="12" t="s">
        <v>48</v>
      </c>
      <c r="Q17" s="12" t="s">
        <v>48</v>
      </c>
      <c r="R17" s="12" t="s">
        <v>48</v>
      </c>
      <c r="S17" s="12" t="s">
        <v>48</v>
      </c>
      <c r="T17" s="12">
        <v>21</v>
      </c>
      <c r="U17" s="12" t="s">
        <v>48</v>
      </c>
      <c r="V17" s="12">
        <v>22</v>
      </c>
      <c r="W17" s="12" t="s">
        <v>48</v>
      </c>
      <c r="X17" s="12">
        <v>22</v>
      </c>
      <c r="Y17" s="12" t="s">
        <v>48</v>
      </c>
      <c r="Z17" s="12" t="s">
        <v>48</v>
      </c>
      <c r="AA17" s="12">
        <v>21</v>
      </c>
      <c r="AB17" s="12" t="s">
        <v>48</v>
      </c>
      <c r="AC17" s="12">
        <v>11</v>
      </c>
      <c r="AD17" s="12">
        <v>21</v>
      </c>
      <c r="AE17" s="12">
        <v>22</v>
      </c>
      <c r="AF17" s="12">
        <v>21</v>
      </c>
      <c r="AG17" s="12">
        <v>21</v>
      </c>
      <c r="AH17" s="12">
        <v>11</v>
      </c>
      <c r="AI17" s="12" t="s">
        <v>48</v>
      </c>
      <c r="AJ17" s="12" t="s">
        <v>48</v>
      </c>
    </row>
    <row r="18" spans="1:36" ht="15.75" customHeight="1" x14ac:dyDescent="0.3">
      <c r="A18" s="11" t="s">
        <v>53</v>
      </c>
      <c r="B18" s="11" t="s">
        <v>46</v>
      </c>
      <c r="C18" s="11">
        <v>78492</v>
      </c>
      <c r="D18" s="8">
        <v>0.52</v>
      </c>
      <c r="E18" s="11" t="s">
        <v>47</v>
      </c>
      <c r="F18" s="12">
        <v>11</v>
      </c>
      <c r="G18" s="12" t="s">
        <v>48</v>
      </c>
      <c r="H18" s="12">
        <v>4</v>
      </c>
      <c r="I18" s="12">
        <v>21</v>
      </c>
      <c r="J18" s="12">
        <v>21</v>
      </c>
      <c r="K18" s="12" t="s">
        <v>48</v>
      </c>
      <c r="L18" s="12" t="s">
        <v>48</v>
      </c>
      <c r="M18" s="12" t="s">
        <v>48</v>
      </c>
      <c r="N18" s="12">
        <v>11</v>
      </c>
      <c r="O18" s="12">
        <v>21</v>
      </c>
      <c r="P18" s="12" t="s">
        <v>48</v>
      </c>
      <c r="Q18" s="12" t="s">
        <v>48</v>
      </c>
      <c r="R18" s="12" t="s">
        <v>48</v>
      </c>
      <c r="S18" s="12" t="s">
        <v>48</v>
      </c>
      <c r="T18" s="12">
        <v>21</v>
      </c>
      <c r="U18" s="12" t="s">
        <v>48</v>
      </c>
      <c r="V18" s="12">
        <v>21</v>
      </c>
      <c r="W18" s="12" t="s">
        <v>48</v>
      </c>
      <c r="X18" s="12">
        <v>21</v>
      </c>
      <c r="Y18" s="12" t="s">
        <v>48</v>
      </c>
      <c r="Z18" s="12" t="s">
        <v>48</v>
      </c>
      <c r="AA18" s="12">
        <v>21</v>
      </c>
      <c r="AB18" s="12" t="s">
        <v>48</v>
      </c>
      <c r="AC18" s="12">
        <v>11</v>
      </c>
      <c r="AD18" s="12">
        <v>21</v>
      </c>
      <c r="AE18" s="12">
        <v>21</v>
      </c>
      <c r="AF18" s="12">
        <v>21</v>
      </c>
      <c r="AG18" s="12">
        <v>22</v>
      </c>
      <c r="AH18" s="12">
        <v>21</v>
      </c>
      <c r="AI18" s="12" t="s">
        <v>48</v>
      </c>
      <c r="AJ18" s="12" t="s">
        <v>48</v>
      </c>
    </row>
    <row r="19" spans="1:36" ht="13.5" customHeight="1" x14ac:dyDescent="0.3"/>
    <row r="20" spans="1:36" ht="13.5" customHeight="1" x14ac:dyDescent="0.3"/>
    <row r="21" spans="1:36" ht="13.5" customHeight="1" x14ac:dyDescent="0.3"/>
    <row r="22" spans="1:36" ht="13.5" customHeight="1" x14ac:dyDescent="0.3"/>
    <row r="23" spans="1:36" ht="13.5" customHeight="1" x14ac:dyDescent="0.3"/>
    <row r="24" spans="1:36" ht="13.5" customHeight="1" x14ac:dyDescent="0.3"/>
    <row r="25" spans="1:36" ht="13.5" customHeight="1" x14ac:dyDescent="0.3"/>
    <row r="26" spans="1:36" ht="13.5" customHeight="1" x14ac:dyDescent="0.3"/>
    <row r="27" spans="1:36" ht="13.5" customHeight="1" x14ac:dyDescent="0.3"/>
    <row r="28" spans="1:36" ht="13.5" customHeight="1" x14ac:dyDescent="0.3"/>
    <row r="29" spans="1:36" ht="13.5" customHeight="1" x14ac:dyDescent="0.3"/>
    <row r="30" spans="1:36" ht="13.5" customHeight="1" x14ac:dyDescent="0.3"/>
    <row r="31" spans="1:36" ht="13.5" customHeight="1" x14ac:dyDescent="0.3"/>
    <row r="32" spans="1:36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2">
    <mergeCell ref="A1:F1"/>
    <mergeCell ref="A2:J3"/>
  </mergeCells>
  <conditionalFormatting sqref="F14:AJ18">
    <cfRule type="expression" dxfId="11" priority="2">
      <formula>OR(F14=11,F14=21)</formula>
    </cfRule>
    <cfRule type="expression" dxfId="10" priority="3">
      <formula>OR(F14=12,F14=22)</formula>
    </cfRule>
    <cfRule type="expression" dxfId="9" priority="4">
      <formula>F14=3</formula>
    </cfRule>
    <cfRule type="expression" dxfId="8" priority="5">
      <formula>F14=4</formula>
    </cfRule>
  </conditionalFormatting>
  <dataValidations count="2">
    <dataValidation type="list" allowBlank="1" sqref="E14:E18" xr:uid="{00000000-0002-0000-0000-000000000000}">
      <formula1>"Approved,Denied,Pending,Unknown"</formula1>
      <formula2>0</formula2>
    </dataValidation>
    <dataValidation type="list" allowBlank="1" showInputMessage="1" prompt="Invalid code - Use 11, 12, 21, 22, 4, or n/a." sqref="F14:AJ18" xr:uid="{00000000-0002-0000-0000-000001000000}">
      <formula1>"11,12,21,22,3,4,n/a"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00"/>
  <sheetViews>
    <sheetView zoomScaleNormal="100" workbookViewId="0"/>
  </sheetViews>
  <sheetFormatPr defaultColWidth="12.6640625" defaultRowHeight="15" customHeight="1" x14ac:dyDescent="0.3"/>
  <cols>
    <col min="1" max="1" width="12" customWidth="1"/>
    <col min="2" max="2" width="14" customWidth="1"/>
    <col min="3" max="3" width="10.88671875" customWidth="1"/>
    <col min="4" max="4" width="16" customWidth="1"/>
    <col min="5" max="5" width="18.109375" customWidth="1"/>
    <col min="6" max="7" width="9.109375" customWidth="1"/>
    <col min="8" max="8" width="9.6640625" customWidth="1"/>
    <col min="9" max="12" width="9.109375" customWidth="1"/>
    <col min="13" max="13" width="7.33203125" customWidth="1"/>
    <col min="14" max="14" width="10.6640625" customWidth="1"/>
    <col min="15" max="15" width="8.88671875" customWidth="1"/>
    <col min="16" max="16" width="7.6640625" customWidth="1"/>
    <col min="17" max="18" width="9.33203125" customWidth="1"/>
    <col min="19" max="20" width="9.77734375" customWidth="1"/>
    <col min="21" max="23" width="10" customWidth="1"/>
    <col min="24" max="30" width="9.33203125" customWidth="1"/>
    <col min="31" max="34" width="7.21875" customWidth="1"/>
    <col min="35" max="36" width="10" customWidth="1"/>
  </cols>
  <sheetData>
    <row r="1" spans="1:36" ht="18.75" customHeight="1" x14ac:dyDescent="0.3">
      <c r="A1" s="3" t="s">
        <v>54</v>
      </c>
      <c r="B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ht="15.75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ht="15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ht="13.5" customHeight="1" x14ac:dyDescent="0.3">
      <c r="A4" s="5" t="s">
        <v>2</v>
      </c>
      <c r="B4" s="5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ht="13.5" customHeight="1" x14ac:dyDescent="0.3">
      <c r="A5" s="6" t="s">
        <v>4</v>
      </c>
      <c r="B5" s="7">
        <f>COUNTIF(F14:AJ18,"11")+COUNTIF(F14:AJ18,"12")+COUNTIF(F14:AJ18,"21")+COUNTIF(F14:AJ18,"22")+COUNTIF(F14:AJ18,"4")</f>
        <v>83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ht="13.5" customHeight="1" x14ac:dyDescent="0.3">
      <c r="A6" s="6" t="s">
        <v>5</v>
      </c>
      <c r="B6" s="8">
        <f>IF(B5=0,"",(COUNTIF(F14:AJ18,"11")+COUNTIF(F14:AJ18,"12")+COUNTIF(F14:AJ18,"21")+COUNTIF(F14:AJ18,"22"))/B5)</f>
        <v>0.90361445783132532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ht="13.5" customHeight="1" x14ac:dyDescent="0.3">
      <c r="A7" s="6" t="s">
        <v>6</v>
      </c>
      <c r="B7" s="8">
        <f>IF(B5=0,"",(COUNTIF(F14:AJ18,"12")+COUNTIF(F14:AJ18,"22"))/B5)</f>
        <v>0.12048192771084337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ht="13.5" customHeight="1" x14ac:dyDescent="0.3">
      <c r="A8" s="6" t="s">
        <v>7</v>
      </c>
      <c r="B8" s="8">
        <f>IF(B5=0,"",COUNTIF(F14:AJ18,"4")/B5)</f>
        <v>9.6385542168674704E-2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ht="13.5" customHeight="1" x14ac:dyDescent="0.3">
      <c r="A9" s="6" t="s">
        <v>8</v>
      </c>
      <c r="B9" s="8">
        <f>IF(COUNT(D14:D18)=0,"",AVERAGE(D14:D18))</f>
        <v>0.29600000000000004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ht="13.5" customHeight="1" x14ac:dyDescent="0.3">
      <c r="A10" s="6"/>
      <c r="B10" s="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ht="13.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 ht="13.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 ht="27" customHeight="1" x14ac:dyDescent="0.3">
      <c r="A13" s="10" t="s">
        <v>9</v>
      </c>
      <c r="B13" s="10" t="s">
        <v>10</v>
      </c>
      <c r="C13" s="10" t="s">
        <v>11</v>
      </c>
      <c r="D13" s="10" t="s">
        <v>12</v>
      </c>
      <c r="E13" s="10" t="s">
        <v>13</v>
      </c>
      <c r="F13" s="10" t="s">
        <v>14</v>
      </c>
      <c r="G13" s="10" t="s">
        <v>15</v>
      </c>
      <c r="H13" s="10" t="s">
        <v>16</v>
      </c>
      <c r="I13" s="10" t="s">
        <v>17</v>
      </c>
      <c r="J13" s="10" t="s">
        <v>18</v>
      </c>
      <c r="K13" s="10" t="s">
        <v>19</v>
      </c>
      <c r="L13" s="10" t="s">
        <v>20</v>
      </c>
      <c r="M13" s="10" t="s">
        <v>21</v>
      </c>
      <c r="N13" s="10" t="s">
        <v>22</v>
      </c>
      <c r="O13" s="10" t="s">
        <v>23</v>
      </c>
      <c r="P13" s="10" t="s">
        <v>24</v>
      </c>
      <c r="Q13" s="10" t="s">
        <v>25</v>
      </c>
      <c r="R13" s="10" t="s">
        <v>26</v>
      </c>
      <c r="S13" s="10" t="s">
        <v>27</v>
      </c>
      <c r="T13" s="10" t="s">
        <v>28</v>
      </c>
      <c r="U13" s="10" t="s">
        <v>29</v>
      </c>
      <c r="V13" s="10" t="s">
        <v>30</v>
      </c>
      <c r="W13" s="10" t="s">
        <v>31</v>
      </c>
      <c r="X13" s="10" t="s">
        <v>32</v>
      </c>
      <c r="Y13" s="10" t="s">
        <v>33</v>
      </c>
      <c r="Z13" s="10" t="s">
        <v>34</v>
      </c>
      <c r="AA13" s="10" t="s">
        <v>35</v>
      </c>
      <c r="AB13" s="10" t="s">
        <v>36</v>
      </c>
      <c r="AC13" s="10" t="s">
        <v>37</v>
      </c>
      <c r="AD13" s="10" t="s">
        <v>38</v>
      </c>
      <c r="AE13" s="10" t="s">
        <v>39</v>
      </c>
      <c r="AF13" s="10" t="s">
        <v>40</v>
      </c>
      <c r="AG13" s="10" t="s">
        <v>41</v>
      </c>
      <c r="AH13" s="10" t="s">
        <v>42</v>
      </c>
      <c r="AI13" s="10" t="s">
        <v>43</v>
      </c>
      <c r="AJ13" s="10" t="s">
        <v>44</v>
      </c>
    </row>
    <row r="14" spans="1:36" ht="15.75" customHeight="1" x14ac:dyDescent="0.3">
      <c r="A14" s="11" t="s">
        <v>45</v>
      </c>
      <c r="B14" s="11" t="s">
        <v>46</v>
      </c>
      <c r="C14" s="11">
        <v>78492</v>
      </c>
      <c r="D14" s="8">
        <v>0.18</v>
      </c>
      <c r="E14" s="11" t="s">
        <v>47</v>
      </c>
      <c r="F14" s="12">
        <v>11</v>
      </c>
      <c r="G14" s="12" t="s">
        <v>48</v>
      </c>
      <c r="H14" s="12">
        <v>4</v>
      </c>
      <c r="I14" s="12">
        <v>21</v>
      </c>
      <c r="J14" s="12">
        <v>21</v>
      </c>
      <c r="K14" s="12" t="s">
        <v>48</v>
      </c>
      <c r="L14" s="12" t="s">
        <v>48</v>
      </c>
      <c r="M14" s="12">
        <v>4</v>
      </c>
      <c r="N14" s="12">
        <v>11</v>
      </c>
      <c r="O14" s="12">
        <v>21</v>
      </c>
      <c r="P14" s="12" t="s">
        <v>48</v>
      </c>
      <c r="Q14" s="12" t="s">
        <v>48</v>
      </c>
      <c r="R14" s="12" t="s">
        <v>48</v>
      </c>
      <c r="S14" s="12" t="s">
        <v>48</v>
      </c>
      <c r="T14" s="12">
        <v>21</v>
      </c>
      <c r="U14" s="12" t="s">
        <v>48</v>
      </c>
      <c r="V14" s="12">
        <v>21</v>
      </c>
      <c r="W14" s="12" t="s">
        <v>48</v>
      </c>
      <c r="X14" s="12">
        <v>21</v>
      </c>
      <c r="Y14" s="12" t="s">
        <v>48</v>
      </c>
      <c r="Z14" s="12" t="s">
        <v>48</v>
      </c>
      <c r="AA14" s="12">
        <v>21</v>
      </c>
      <c r="AB14" s="12" t="s">
        <v>48</v>
      </c>
      <c r="AC14" s="12">
        <v>11</v>
      </c>
      <c r="AD14" s="12">
        <v>21</v>
      </c>
      <c r="AE14" s="12">
        <v>22</v>
      </c>
      <c r="AF14" s="12">
        <v>22</v>
      </c>
      <c r="AG14" s="12">
        <v>22</v>
      </c>
      <c r="AH14" s="12">
        <v>21</v>
      </c>
      <c r="AI14" s="12" t="s">
        <v>48</v>
      </c>
      <c r="AJ14" s="12" t="s">
        <v>48</v>
      </c>
    </row>
    <row r="15" spans="1:36" ht="15.75" customHeight="1" x14ac:dyDescent="0.3">
      <c r="A15" s="11" t="s">
        <v>49</v>
      </c>
      <c r="B15" s="11" t="s">
        <v>50</v>
      </c>
      <c r="C15" s="11">
        <v>78492</v>
      </c>
      <c r="D15" s="8">
        <v>0.18</v>
      </c>
      <c r="E15" s="11" t="s">
        <v>47</v>
      </c>
      <c r="F15" s="12">
        <v>11</v>
      </c>
      <c r="G15" s="12" t="s">
        <v>48</v>
      </c>
      <c r="H15" s="12">
        <v>4</v>
      </c>
      <c r="I15" s="12">
        <v>21</v>
      </c>
      <c r="J15" s="12">
        <v>21</v>
      </c>
      <c r="K15" s="12" t="s">
        <v>48</v>
      </c>
      <c r="L15" s="12" t="s">
        <v>48</v>
      </c>
      <c r="M15" s="12">
        <v>4</v>
      </c>
      <c r="N15" s="12">
        <v>11</v>
      </c>
      <c r="O15" s="12">
        <v>21</v>
      </c>
      <c r="P15" s="12" t="s">
        <v>48</v>
      </c>
      <c r="Q15" s="12" t="s">
        <v>48</v>
      </c>
      <c r="R15" s="12" t="s">
        <v>48</v>
      </c>
      <c r="S15" s="12" t="s">
        <v>48</v>
      </c>
      <c r="T15" s="12">
        <v>21</v>
      </c>
      <c r="U15" s="12" t="s">
        <v>48</v>
      </c>
      <c r="V15" s="12">
        <v>21</v>
      </c>
      <c r="W15" s="12" t="s">
        <v>48</v>
      </c>
      <c r="X15" s="12">
        <v>21</v>
      </c>
      <c r="Y15" s="12" t="s">
        <v>48</v>
      </c>
      <c r="Z15" s="12" t="s">
        <v>48</v>
      </c>
      <c r="AA15" s="12" t="s">
        <v>48</v>
      </c>
      <c r="AB15" s="12" t="s">
        <v>48</v>
      </c>
      <c r="AC15" s="12">
        <v>11</v>
      </c>
      <c r="AD15" s="12">
        <v>21</v>
      </c>
      <c r="AE15" s="12">
        <v>21</v>
      </c>
      <c r="AF15" s="12">
        <v>21</v>
      </c>
      <c r="AG15" s="12">
        <v>11</v>
      </c>
      <c r="AH15" s="12">
        <v>21</v>
      </c>
      <c r="AI15" s="12" t="s">
        <v>48</v>
      </c>
      <c r="AJ15" s="12" t="s">
        <v>48</v>
      </c>
    </row>
    <row r="16" spans="1:36" ht="15.75" customHeight="1" x14ac:dyDescent="0.3">
      <c r="A16" s="11" t="s">
        <v>51</v>
      </c>
      <c r="B16" s="11" t="s">
        <v>50</v>
      </c>
      <c r="C16" s="11">
        <v>78452</v>
      </c>
      <c r="D16" s="8">
        <v>0.18</v>
      </c>
      <c r="E16" s="11" t="s">
        <v>47</v>
      </c>
      <c r="F16" s="12">
        <v>22</v>
      </c>
      <c r="G16" s="12" t="s">
        <v>48</v>
      </c>
      <c r="H16" s="12">
        <v>4</v>
      </c>
      <c r="I16" s="12">
        <v>21</v>
      </c>
      <c r="J16" s="12">
        <v>21</v>
      </c>
      <c r="K16" s="12" t="s">
        <v>48</v>
      </c>
      <c r="L16" s="12" t="s">
        <v>48</v>
      </c>
      <c r="M16" s="12">
        <v>22</v>
      </c>
      <c r="N16" s="12">
        <v>21</v>
      </c>
      <c r="O16" s="12">
        <v>21</v>
      </c>
      <c r="P16" s="12" t="s">
        <v>48</v>
      </c>
      <c r="Q16" s="12" t="s">
        <v>48</v>
      </c>
      <c r="R16" s="12" t="s">
        <v>48</v>
      </c>
      <c r="S16" s="12" t="s">
        <v>48</v>
      </c>
      <c r="T16" s="12">
        <v>21</v>
      </c>
      <c r="U16" s="12" t="s">
        <v>48</v>
      </c>
      <c r="V16" s="12" t="s">
        <v>48</v>
      </c>
      <c r="W16" s="12" t="s">
        <v>48</v>
      </c>
      <c r="X16" s="12">
        <v>21</v>
      </c>
      <c r="Y16" s="12">
        <v>22</v>
      </c>
      <c r="Z16" s="12">
        <v>22</v>
      </c>
      <c r="AA16" s="12" t="s">
        <v>48</v>
      </c>
      <c r="AB16" s="12" t="s">
        <v>48</v>
      </c>
      <c r="AC16" s="12">
        <v>22</v>
      </c>
      <c r="AD16" s="12">
        <v>21</v>
      </c>
      <c r="AE16" s="12">
        <v>21</v>
      </c>
      <c r="AF16" s="12">
        <v>21</v>
      </c>
      <c r="AG16" s="12">
        <v>22</v>
      </c>
      <c r="AH16" s="12">
        <v>21</v>
      </c>
      <c r="AI16" s="12" t="s">
        <v>48</v>
      </c>
      <c r="AJ16" s="12" t="s">
        <v>48</v>
      </c>
    </row>
    <row r="17" spans="1:36" ht="15.75" customHeight="1" x14ac:dyDescent="0.3">
      <c r="A17" s="11" t="s">
        <v>52</v>
      </c>
      <c r="B17" s="11" t="s">
        <v>50</v>
      </c>
      <c r="C17" s="11">
        <v>78492</v>
      </c>
      <c r="D17" s="8">
        <v>0.62</v>
      </c>
      <c r="E17" s="11" t="s">
        <v>47</v>
      </c>
      <c r="F17" s="12">
        <v>11</v>
      </c>
      <c r="G17" s="12">
        <v>11</v>
      </c>
      <c r="H17" s="12">
        <v>4</v>
      </c>
      <c r="I17" s="12">
        <v>21</v>
      </c>
      <c r="J17" s="12">
        <v>21</v>
      </c>
      <c r="K17" s="12" t="s">
        <v>48</v>
      </c>
      <c r="L17" s="12" t="s">
        <v>48</v>
      </c>
      <c r="M17" s="12" t="s">
        <v>48</v>
      </c>
      <c r="N17" s="12">
        <v>11</v>
      </c>
      <c r="O17" s="12">
        <v>21</v>
      </c>
      <c r="P17" s="12" t="s">
        <v>48</v>
      </c>
      <c r="Q17" s="12" t="s">
        <v>48</v>
      </c>
      <c r="R17" s="12" t="s">
        <v>48</v>
      </c>
      <c r="S17" s="12" t="s">
        <v>48</v>
      </c>
      <c r="T17" s="12">
        <v>21</v>
      </c>
      <c r="U17" s="12" t="s">
        <v>48</v>
      </c>
      <c r="V17" s="12">
        <v>22</v>
      </c>
      <c r="W17" s="12" t="s">
        <v>48</v>
      </c>
      <c r="X17" s="12">
        <v>11</v>
      </c>
      <c r="Y17" s="12" t="s">
        <v>48</v>
      </c>
      <c r="Z17" s="12" t="s">
        <v>48</v>
      </c>
      <c r="AA17" s="12" t="s">
        <v>48</v>
      </c>
      <c r="AB17" s="12" t="s">
        <v>48</v>
      </c>
      <c r="AC17" s="12">
        <v>11</v>
      </c>
      <c r="AD17" s="12">
        <v>21</v>
      </c>
      <c r="AE17" s="12">
        <v>21</v>
      </c>
      <c r="AF17" s="12">
        <v>21</v>
      </c>
      <c r="AG17" s="12">
        <v>21</v>
      </c>
      <c r="AH17" s="12">
        <v>21</v>
      </c>
      <c r="AI17" s="12" t="s">
        <v>48</v>
      </c>
      <c r="AJ17" s="12" t="s">
        <v>48</v>
      </c>
    </row>
    <row r="18" spans="1:36" ht="15.75" customHeight="1" x14ac:dyDescent="0.3">
      <c r="A18" s="11" t="s">
        <v>53</v>
      </c>
      <c r="B18" s="11" t="s">
        <v>46</v>
      </c>
      <c r="C18" s="11">
        <v>78492</v>
      </c>
      <c r="D18" s="8">
        <v>0.32</v>
      </c>
      <c r="E18" s="11" t="s">
        <v>47</v>
      </c>
      <c r="F18" s="12">
        <v>11</v>
      </c>
      <c r="G18" s="12" t="s">
        <v>48</v>
      </c>
      <c r="H18" s="12">
        <v>4</v>
      </c>
      <c r="I18" s="12">
        <v>21</v>
      </c>
      <c r="J18" s="12">
        <v>21</v>
      </c>
      <c r="K18" s="12" t="s">
        <v>48</v>
      </c>
      <c r="L18" s="12" t="s">
        <v>48</v>
      </c>
      <c r="M18" s="12">
        <v>4</v>
      </c>
      <c r="N18" s="12">
        <v>11</v>
      </c>
      <c r="O18" s="12">
        <v>21</v>
      </c>
      <c r="P18" s="12" t="s">
        <v>48</v>
      </c>
      <c r="Q18" s="12" t="s">
        <v>48</v>
      </c>
      <c r="R18" s="12" t="s">
        <v>48</v>
      </c>
      <c r="S18" s="12" t="s">
        <v>48</v>
      </c>
      <c r="T18" s="12">
        <v>21</v>
      </c>
      <c r="U18" s="12" t="s">
        <v>48</v>
      </c>
      <c r="V18" s="12">
        <v>21</v>
      </c>
      <c r="W18" s="12" t="s">
        <v>48</v>
      </c>
      <c r="X18" s="12">
        <v>21</v>
      </c>
      <c r="Y18" s="12" t="s">
        <v>48</v>
      </c>
      <c r="Z18" s="12" t="s">
        <v>48</v>
      </c>
      <c r="AA18" s="12">
        <v>21</v>
      </c>
      <c r="AB18" s="12" t="s">
        <v>48</v>
      </c>
      <c r="AC18" s="12">
        <v>11</v>
      </c>
      <c r="AD18" s="12">
        <v>21</v>
      </c>
      <c r="AE18" s="12">
        <v>21</v>
      </c>
      <c r="AF18" s="12">
        <v>21</v>
      </c>
      <c r="AG18" s="12">
        <v>21</v>
      </c>
      <c r="AH18" s="12">
        <v>21</v>
      </c>
      <c r="AI18" s="12" t="s">
        <v>48</v>
      </c>
      <c r="AJ18" s="12" t="s">
        <v>48</v>
      </c>
    </row>
    <row r="19" spans="1:36" ht="13.5" customHeight="1" x14ac:dyDescent="0.3"/>
    <row r="20" spans="1:36" ht="13.5" customHeight="1" x14ac:dyDescent="0.3"/>
    <row r="21" spans="1:36" ht="13.5" customHeight="1" x14ac:dyDescent="0.3"/>
    <row r="22" spans="1:36" ht="13.5" customHeight="1" x14ac:dyDescent="0.3"/>
    <row r="23" spans="1:36" ht="13.5" customHeight="1" x14ac:dyDescent="0.3"/>
    <row r="24" spans="1:36" ht="13.5" customHeight="1" x14ac:dyDescent="0.3"/>
    <row r="25" spans="1:36" ht="13.5" customHeight="1" x14ac:dyDescent="0.3"/>
    <row r="26" spans="1:36" ht="13.5" customHeight="1" x14ac:dyDescent="0.3"/>
    <row r="27" spans="1:36" ht="13.5" customHeight="1" x14ac:dyDescent="0.3"/>
    <row r="28" spans="1:36" ht="13.5" customHeight="1" x14ac:dyDescent="0.3"/>
    <row r="29" spans="1:36" ht="13.5" customHeight="1" x14ac:dyDescent="0.3"/>
    <row r="30" spans="1:36" ht="13.5" customHeight="1" x14ac:dyDescent="0.3"/>
    <row r="31" spans="1:36" ht="13.5" customHeight="1" x14ac:dyDescent="0.3"/>
    <row r="32" spans="1:36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2">
    <mergeCell ref="A1:F1"/>
    <mergeCell ref="A2:J3"/>
  </mergeCells>
  <conditionalFormatting sqref="F14:AJ18">
    <cfRule type="expression" dxfId="7" priority="2">
      <formula>OR(F14=11,F14=21)</formula>
    </cfRule>
    <cfRule type="expression" dxfId="6" priority="3">
      <formula>OR(F14=12,F14=22)</formula>
    </cfRule>
    <cfRule type="expression" dxfId="5" priority="4">
      <formula>F14=3</formula>
    </cfRule>
    <cfRule type="expression" dxfId="4" priority="5">
      <formula>F14=4</formula>
    </cfRule>
  </conditionalFormatting>
  <dataValidations count="2">
    <dataValidation type="list" allowBlank="1" sqref="E14:E18" xr:uid="{00000000-0002-0000-0100-000000000000}">
      <formula1>"Approved,Denied,Pending,Unknown"</formula1>
      <formula2>0</formula2>
    </dataValidation>
    <dataValidation type="list" allowBlank="1" showInputMessage="1" prompt="Invalid code - Use 11, 12, 21, 22, 4, or n/a." sqref="F14:AJ18" xr:uid="{00000000-0002-0000-0100-000001000000}">
      <formula1>"11,12,21,22,3,4,n/a"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00"/>
  <sheetViews>
    <sheetView zoomScaleNormal="100" workbookViewId="0"/>
  </sheetViews>
  <sheetFormatPr defaultColWidth="12.6640625" defaultRowHeight="15" customHeight="1" x14ac:dyDescent="0.3"/>
  <cols>
    <col min="1" max="1" width="12" customWidth="1"/>
    <col min="2" max="2" width="14" customWidth="1"/>
    <col min="3" max="3" width="10.88671875" customWidth="1"/>
    <col min="4" max="4" width="16" customWidth="1"/>
    <col min="5" max="5" width="18.109375" customWidth="1"/>
    <col min="6" max="7" width="9.109375" customWidth="1"/>
    <col min="8" max="8" width="9.6640625" customWidth="1"/>
    <col min="9" max="12" width="9.109375" customWidth="1"/>
    <col min="13" max="13" width="7.33203125" customWidth="1"/>
    <col min="14" max="14" width="10.6640625" customWidth="1"/>
    <col min="15" max="15" width="8.88671875" customWidth="1"/>
    <col min="16" max="16" width="7.6640625" customWidth="1"/>
    <col min="17" max="18" width="9.33203125" customWidth="1"/>
    <col min="19" max="20" width="9.77734375" customWidth="1"/>
    <col min="21" max="23" width="10" customWidth="1"/>
    <col min="24" max="30" width="9.33203125" customWidth="1"/>
    <col min="31" max="34" width="7.21875" customWidth="1"/>
    <col min="35" max="36" width="10" customWidth="1"/>
  </cols>
  <sheetData>
    <row r="1" spans="1:36" ht="18.75" customHeight="1" x14ac:dyDescent="0.3">
      <c r="A1" s="3" t="s">
        <v>55</v>
      </c>
      <c r="B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ht="15.75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ht="15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ht="13.5" customHeight="1" x14ac:dyDescent="0.3">
      <c r="A4" s="5" t="s">
        <v>2</v>
      </c>
      <c r="B4" s="5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ht="13.5" customHeight="1" x14ac:dyDescent="0.3">
      <c r="A5" s="6" t="s">
        <v>4</v>
      </c>
      <c r="B5" s="7">
        <f>COUNTIF(F14:AJ18,"11")+COUNTIF(F14:AJ18,"12")+COUNTIF(F14:AJ18,"21")+COUNTIF(F14:AJ18,"22")+COUNTIF(F14:AJ18,"4")</f>
        <v>80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ht="13.5" customHeight="1" x14ac:dyDescent="0.3">
      <c r="A6" s="6" t="s">
        <v>5</v>
      </c>
      <c r="B6" s="8">
        <f>IF(B5=0,"",(COUNTIF(F14:AJ18,"11")+COUNTIF(F14:AJ18,"12")+COUNTIF(F14:AJ18,"21")+COUNTIF(F14:AJ18,"22"))/B5)</f>
        <v>0.9375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ht="13.5" customHeight="1" x14ac:dyDescent="0.3">
      <c r="A7" s="6" t="s">
        <v>6</v>
      </c>
      <c r="B7" s="8">
        <f>IF(B5=0,"",(COUNTIF(F14:AJ18,"12")+COUNTIF(F14:AJ18,"22"))/B5)</f>
        <v>7.4999999999999997E-2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ht="13.5" customHeight="1" x14ac:dyDescent="0.3">
      <c r="A8" s="6" t="s">
        <v>7</v>
      </c>
      <c r="B8" s="8">
        <f>IF(B5=0,"",COUNTIF(F14:AJ18,"4")/B5)</f>
        <v>6.25E-2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ht="13.5" customHeight="1" x14ac:dyDescent="0.3">
      <c r="A9" s="6" t="s">
        <v>8</v>
      </c>
      <c r="B9" s="8">
        <f>IF(COUNT(D14:D18)=0,"",AVERAGE(D14:D18))</f>
        <v>0.23200000000000004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ht="13.5" customHeight="1" x14ac:dyDescent="0.3">
      <c r="A10" s="6"/>
      <c r="B10" s="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ht="13.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 ht="13.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 ht="27" customHeight="1" x14ac:dyDescent="0.3">
      <c r="A13" s="10" t="s">
        <v>9</v>
      </c>
      <c r="B13" s="10" t="s">
        <v>10</v>
      </c>
      <c r="C13" s="10" t="s">
        <v>11</v>
      </c>
      <c r="D13" s="10" t="s">
        <v>12</v>
      </c>
      <c r="E13" s="10" t="s">
        <v>13</v>
      </c>
      <c r="F13" s="10" t="s">
        <v>14</v>
      </c>
      <c r="G13" s="10" t="s">
        <v>15</v>
      </c>
      <c r="H13" s="10" t="s">
        <v>16</v>
      </c>
      <c r="I13" s="10" t="s">
        <v>17</v>
      </c>
      <c r="J13" s="10" t="s">
        <v>18</v>
      </c>
      <c r="K13" s="10" t="s">
        <v>19</v>
      </c>
      <c r="L13" s="10" t="s">
        <v>20</v>
      </c>
      <c r="M13" s="10" t="s">
        <v>21</v>
      </c>
      <c r="N13" s="10" t="s">
        <v>22</v>
      </c>
      <c r="O13" s="10" t="s">
        <v>23</v>
      </c>
      <c r="P13" s="10" t="s">
        <v>24</v>
      </c>
      <c r="Q13" s="10" t="s">
        <v>25</v>
      </c>
      <c r="R13" s="10" t="s">
        <v>26</v>
      </c>
      <c r="S13" s="10" t="s">
        <v>27</v>
      </c>
      <c r="T13" s="10" t="s">
        <v>28</v>
      </c>
      <c r="U13" s="10" t="s">
        <v>29</v>
      </c>
      <c r="V13" s="10" t="s">
        <v>30</v>
      </c>
      <c r="W13" s="10" t="s">
        <v>31</v>
      </c>
      <c r="X13" s="10" t="s">
        <v>32</v>
      </c>
      <c r="Y13" s="10" t="s">
        <v>33</v>
      </c>
      <c r="Z13" s="10" t="s">
        <v>34</v>
      </c>
      <c r="AA13" s="10" t="s">
        <v>35</v>
      </c>
      <c r="AB13" s="10" t="s">
        <v>36</v>
      </c>
      <c r="AC13" s="10" t="s">
        <v>37</v>
      </c>
      <c r="AD13" s="10" t="s">
        <v>38</v>
      </c>
      <c r="AE13" s="10" t="s">
        <v>39</v>
      </c>
      <c r="AF13" s="10" t="s">
        <v>40</v>
      </c>
      <c r="AG13" s="10" t="s">
        <v>41</v>
      </c>
      <c r="AH13" s="10" t="s">
        <v>42</v>
      </c>
      <c r="AI13" s="10" t="s">
        <v>43</v>
      </c>
      <c r="AJ13" s="10" t="s">
        <v>44</v>
      </c>
    </row>
    <row r="14" spans="1:36" ht="15.75" customHeight="1" x14ac:dyDescent="0.3">
      <c r="A14" s="11" t="s">
        <v>45</v>
      </c>
      <c r="B14" s="11" t="s">
        <v>46</v>
      </c>
      <c r="C14" s="11">
        <v>78492</v>
      </c>
      <c r="D14" s="8">
        <v>0.12</v>
      </c>
      <c r="E14" s="11" t="s">
        <v>47</v>
      </c>
      <c r="F14" s="12">
        <v>11</v>
      </c>
      <c r="G14" s="12" t="s">
        <v>48</v>
      </c>
      <c r="H14" s="12">
        <v>4</v>
      </c>
      <c r="I14" s="12">
        <v>21</v>
      </c>
      <c r="J14" s="12">
        <v>21</v>
      </c>
      <c r="K14" s="12" t="s">
        <v>48</v>
      </c>
      <c r="L14" s="12">
        <v>21</v>
      </c>
      <c r="M14" s="12">
        <v>4</v>
      </c>
      <c r="N14" s="12">
        <v>11</v>
      </c>
      <c r="O14" s="12">
        <v>21</v>
      </c>
      <c r="P14" s="12" t="s">
        <v>48</v>
      </c>
      <c r="Q14" s="12" t="s">
        <v>48</v>
      </c>
      <c r="R14" s="12" t="s">
        <v>48</v>
      </c>
      <c r="S14" s="12" t="s">
        <v>48</v>
      </c>
      <c r="T14" s="12">
        <v>21</v>
      </c>
      <c r="U14" s="12" t="s">
        <v>48</v>
      </c>
      <c r="V14" s="12">
        <v>21</v>
      </c>
      <c r="W14" s="12" t="s">
        <v>48</v>
      </c>
      <c r="X14" s="12">
        <v>21</v>
      </c>
      <c r="Y14" s="12" t="s">
        <v>48</v>
      </c>
      <c r="Z14" s="12" t="s">
        <v>48</v>
      </c>
      <c r="AA14" s="12">
        <v>21</v>
      </c>
      <c r="AB14" s="12" t="s">
        <v>48</v>
      </c>
      <c r="AC14" s="12">
        <v>11</v>
      </c>
      <c r="AD14" s="12">
        <v>21</v>
      </c>
      <c r="AE14" s="12">
        <v>22</v>
      </c>
      <c r="AF14" s="12">
        <v>22</v>
      </c>
      <c r="AG14" s="12">
        <v>22</v>
      </c>
      <c r="AH14" s="12">
        <v>21</v>
      </c>
      <c r="AI14" s="12" t="s">
        <v>48</v>
      </c>
      <c r="AJ14" s="12" t="s">
        <v>48</v>
      </c>
    </row>
    <row r="15" spans="1:36" ht="15.75" customHeight="1" x14ac:dyDescent="0.3">
      <c r="A15" s="11" t="s">
        <v>49</v>
      </c>
      <c r="B15" s="11" t="s">
        <v>50</v>
      </c>
      <c r="C15" s="11">
        <v>78492</v>
      </c>
      <c r="D15" s="8">
        <v>0.22</v>
      </c>
      <c r="E15" s="11" t="s">
        <v>47</v>
      </c>
      <c r="F15" s="12">
        <v>11</v>
      </c>
      <c r="G15" s="12" t="s">
        <v>48</v>
      </c>
      <c r="H15" s="12">
        <v>4</v>
      </c>
      <c r="I15" s="12">
        <v>21</v>
      </c>
      <c r="J15" s="12">
        <v>21</v>
      </c>
      <c r="K15" s="12" t="s">
        <v>48</v>
      </c>
      <c r="L15" s="12">
        <v>22</v>
      </c>
      <c r="M15" s="12">
        <v>4</v>
      </c>
      <c r="N15" s="12">
        <v>11</v>
      </c>
      <c r="O15" s="12">
        <v>21</v>
      </c>
      <c r="P15" s="12" t="s">
        <v>48</v>
      </c>
      <c r="Q15" s="12" t="s">
        <v>48</v>
      </c>
      <c r="R15" s="12" t="s">
        <v>48</v>
      </c>
      <c r="S15" s="12" t="s">
        <v>48</v>
      </c>
      <c r="T15" s="12">
        <v>21</v>
      </c>
      <c r="U15" s="12" t="s">
        <v>48</v>
      </c>
      <c r="V15" s="12">
        <v>21</v>
      </c>
      <c r="W15" s="12" t="s">
        <v>48</v>
      </c>
      <c r="X15" s="12">
        <v>21</v>
      </c>
      <c r="Y15" s="12" t="s">
        <v>48</v>
      </c>
      <c r="Z15" s="12" t="s">
        <v>48</v>
      </c>
      <c r="AA15" s="12" t="s">
        <v>48</v>
      </c>
      <c r="AB15" s="12" t="s">
        <v>48</v>
      </c>
      <c r="AC15" s="12">
        <v>11</v>
      </c>
      <c r="AD15" s="12">
        <v>21</v>
      </c>
      <c r="AE15" s="12">
        <v>21</v>
      </c>
      <c r="AF15" s="12">
        <v>21</v>
      </c>
      <c r="AG15" s="12">
        <v>22</v>
      </c>
      <c r="AH15" s="12">
        <v>21</v>
      </c>
      <c r="AI15" s="12" t="s">
        <v>48</v>
      </c>
      <c r="AJ15" s="12" t="s">
        <v>48</v>
      </c>
    </row>
    <row r="16" spans="1:36" ht="15.75" customHeight="1" x14ac:dyDescent="0.3">
      <c r="A16" s="11" t="s">
        <v>51</v>
      </c>
      <c r="B16" s="11" t="s">
        <v>50</v>
      </c>
      <c r="C16" s="11">
        <v>78452</v>
      </c>
      <c r="D16" s="8">
        <v>0.12</v>
      </c>
      <c r="E16" s="11" t="s">
        <v>47</v>
      </c>
      <c r="F16" s="12" t="s">
        <v>48</v>
      </c>
      <c r="G16" s="12" t="s">
        <v>48</v>
      </c>
      <c r="H16" s="12">
        <v>4</v>
      </c>
      <c r="I16" s="12">
        <v>21</v>
      </c>
      <c r="J16" s="12">
        <v>21</v>
      </c>
      <c r="K16" s="12" t="s">
        <v>48</v>
      </c>
      <c r="L16" s="12" t="s">
        <v>48</v>
      </c>
      <c r="M16" s="12" t="s">
        <v>48</v>
      </c>
      <c r="N16" s="12">
        <v>21</v>
      </c>
      <c r="O16" s="12">
        <v>21</v>
      </c>
      <c r="P16" s="12" t="s">
        <v>48</v>
      </c>
      <c r="Q16" s="12" t="s">
        <v>48</v>
      </c>
      <c r="R16" s="12" t="s">
        <v>48</v>
      </c>
      <c r="S16" s="12" t="s">
        <v>48</v>
      </c>
      <c r="T16" s="12">
        <v>21</v>
      </c>
      <c r="U16" s="12" t="s">
        <v>48</v>
      </c>
      <c r="V16" s="12" t="s">
        <v>48</v>
      </c>
      <c r="W16" s="12" t="s">
        <v>48</v>
      </c>
      <c r="X16" s="12">
        <v>21</v>
      </c>
      <c r="Y16" s="12" t="s">
        <v>48</v>
      </c>
      <c r="Z16" s="12" t="s">
        <v>48</v>
      </c>
      <c r="AA16" s="12" t="s">
        <v>48</v>
      </c>
      <c r="AB16" s="12" t="s">
        <v>48</v>
      </c>
      <c r="AC16" s="12">
        <v>22</v>
      </c>
      <c r="AD16" s="12">
        <v>21</v>
      </c>
      <c r="AE16" s="12">
        <v>21</v>
      </c>
      <c r="AF16" s="12">
        <v>21</v>
      </c>
      <c r="AG16" s="12">
        <v>11</v>
      </c>
      <c r="AH16" s="12">
        <v>21</v>
      </c>
      <c r="AI16" s="12" t="s">
        <v>48</v>
      </c>
      <c r="AJ16" s="12" t="s">
        <v>48</v>
      </c>
    </row>
    <row r="17" spans="1:36" ht="15.75" customHeight="1" x14ac:dyDescent="0.3">
      <c r="A17" s="11" t="s">
        <v>52</v>
      </c>
      <c r="B17" s="11" t="s">
        <v>50</v>
      </c>
      <c r="C17" s="11">
        <v>78492</v>
      </c>
      <c r="D17" s="8">
        <v>0.32</v>
      </c>
      <c r="E17" s="11" t="s">
        <v>47</v>
      </c>
      <c r="F17" s="12">
        <v>11</v>
      </c>
      <c r="G17" s="12">
        <v>11</v>
      </c>
      <c r="H17" s="12">
        <v>21</v>
      </c>
      <c r="I17" s="12">
        <v>21</v>
      </c>
      <c r="J17" s="12">
        <v>21</v>
      </c>
      <c r="K17" s="12" t="s">
        <v>48</v>
      </c>
      <c r="L17" s="12" t="s">
        <v>48</v>
      </c>
      <c r="M17" s="12" t="s">
        <v>48</v>
      </c>
      <c r="N17" s="12">
        <v>11</v>
      </c>
      <c r="O17" s="12">
        <v>21</v>
      </c>
      <c r="P17" s="12" t="s">
        <v>48</v>
      </c>
      <c r="Q17" s="12" t="s">
        <v>48</v>
      </c>
      <c r="R17" s="12" t="s">
        <v>48</v>
      </c>
      <c r="S17" s="12" t="s">
        <v>48</v>
      </c>
      <c r="T17" s="12">
        <v>21</v>
      </c>
      <c r="U17" s="12" t="s">
        <v>48</v>
      </c>
      <c r="V17" s="12">
        <v>21</v>
      </c>
      <c r="W17" s="12" t="s">
        <v>48</v>
      </c>
      <c r="X17" s="12">
        <v>11</v>
      </c>
      <c r="Y17" s="12" t="s">
        <v>48</v>
      </c>
      <c r="Z17" s="12" t="s">
        <v>48</v>
      </c>
      <c r="AA17" s="12" t="s">
        <v>48</v>
      </c>
      <c r="AB17" s="12" t="s">
        <v>48</v>
      </c>
      <c r="AC17" s="12">
        <v>11</v>
      </c>
      <c r="AD17" s="12">
        <v>21</v>
      </c>
      <c r="AE17" s="12">
        <v>21</v>
      </c>
      <c r="AF17" s="12">
        <v>21</v>
      </c>
      <c r="AG17" s="12">
        <v>21</v>
      </c>
      <c r="AH17" s="12">
        <v>11</v>
      </c>
      <c r="AI17" s="12" t="s">
        <v>48</v>
      </c>
      <c r="AJ17" s="12" t="s">
        <v>48</v>
      </c>
    </row>
    <row r="18" spans="1:36" ht="15.75" customHeight="1" x14ac:dyDescent="0.3">
      <c r="A18" s="11" t="s">
        <v>53</v>
      </c>
      <c r="B18" s="11" t="s">
        <v>46</v>
      </c>
      <c r="C18" s="11">
        <v>78492</v>
      </c>
      <c r="D18" s="8">
        <v>0.38</v>
      </c>
      <c r="E18" s="11" t="s">
        <v>47</v>
      </c>
      <c r="F18" s="12">
        <v>11</v>
      </c>
      <c r="G18" s="12" t="s">
        <v>48</v>
      </c>
      <c r="H18" s="12">
        <v>21</v>
      </c>
      <c r="I18" s="12">
        <v>21</v>
      </c>
      <c r="J18" s="12">
        <v>21</v>
      </c>
      <c r="K18" s="12" t="s">
        <v>48</v>
      </c>
      <c r="L18" s="12" t="s">
        <v>48</v>
      </c>
      <c r="M18" s="12" t="s">
        <v>48</v>
      </c>
      <c r="N18" s="12">
        <v>21</v>
      </c>
      <c r="O18" s="12">
        <v>21</v>
      </c>
      <c r="P18" s="12" t="s">
        <v>48</v>
      </c>
      <c r="Q18" s="12" t="s">
        <v>48</v>
      </c>
      <c r="R18" s="12" t="s">
        <v>48</v>
      </c>
      <c r="S18" s="12" t="s">
        <v>48</v>
      </c>
      <c r="T18" s="12">
        <v>21</v>
      </c>
      <c r="U18" s="12" t="s">
        <v>48</v>
      </c>
      <c r="V18" s="12">
        <v>21</v>
      </c>
      <c r="W18" s="12" t="s">
        <v>48</v>
      </c>
      <c r="X18" s="12">
        <v>21</v>
      </c>
      <c r="Y18" s="12" t="s">
        <v>48</v>
      </c>
      <c r="Z18" s="12" t="s">
        <v>48</v>
      </c>
      <c r="AA18" s="12">
        <v>21</v>
      </c>
      <c r="AB18" s="12" t="s">
        <v>48</v>
      </c>
      <c r="AC18" s="12">
        <v>11</v>
      </c>
      <c r="AD18" s="12">
        <v>21</v>
      </c>
      <c r="AE18" s="12">
        <v>21</v>
      </c>
      <c r="AF18" s="12">
        <v>21</v>
      </c>
      <c r="AG18" s="12">
        <v>21</v>
      </c>
      <c r="AH18" s="12">
        <v>21</v>
      </c>
      <c r="AI18" s="12" t="s">
        <v>48</v>
      </c>
      <c r="AJ18" s="12" t="s">
        <v>48</v>
      </c>
    </row>
    <row r="19" spans="1:36" ht="13.5" customHeight="1" x14ac:dyDescent="0.3"/>
    <row r="20" spans="1:36" ht="13.5" customHeight="1" x14ac:dyDescent="0.3"/>
    <row r="21" spans="1:36" ht="13.5" customHeight="1" x14ac:dyDescent="0.3"/>
    <row r="22" spans="1:36" ht="13.5" customHeight="1" x14ac:dyDescent="0.3"/>
    <row r="23" spans="1:36" ht="13.5" customHeight="1" x14ac:dyDescent="0.3"/>
    <row r="24" spans="1:36" ht="13.5" customHeight="1" x14ac:dyDescent="0.3"/>
    <row r="25" spans="1:36" ht="13.5" customHeight="1" x14ac:dyDescent="0.3"/>
    <row r="26" spans="1:36" ht="13.5" customHeight="1" x14ac:dyDescent="0.3"/>
    <row r="27" spans="1:36" ht="13.5" customHeight="1" x14ac:dyDescent="0.3"/>
    <row r="28" spans="1:36" ht="13.5" customHeight="1" x14ac:dyDescent="0.3"/>
    <row r="29" spans="1:36" ht="13.5" customHeight="1" x14ac:dyDescent="0.3"/>
    <row r="30" spans="1:36" ht="13.5" customHeight="1" x14ac:dyDescent="0.3"/>
    <row r="31" spans="1:36" ht="13.5" customHeight="1" x14ac:dyDescent="0.3"/>
    <row r="32" spans="1:36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2">
    <mergeCell ref="A1:F1"/>
    <mergeCell ref="A2:J3"/>
  </mergeCells>
  <conditionalFormatting sqref="F14:AJ18">
    <cfRule type="expression" dxfId="3" priority="2">
      <formula>OR(F14=11,F14=21)</formula>
    </cfRule>
    <cfRule type="expression" dxfId="2" priority="3">
      <formula>OR(F14=12,F14=22)</formula>
    </cfRule>
    <cfRule type="expression" dxfId="1" priority="4">
      <formula>F14=3</formula>
    </cfRule>
    <cfRule type="expression" dxfId="0" priority="5">
      <formula>F14=4</formula>
    </cfRule>
  </conditionalFormatting>
  <dataValidations count="2">
    <dataValidation type="list" allowBlank="1" sqref="E14:E18" xr:uid="{00000000-0002-0000-0200-000000000000}">
      <formula1>"Approved,Denied,Pending,Unknown"</formula1>
      <formula2>0</formula2>
    </dataValidation>
    <dataValidation type="list" allowBlank="1" showInputMessage="1" prompt="Invalid code - Use 11, 12, 21, 22, 4, or n/a." sqref="F14:AJ18" xr:uid="{00000000-0002-0000-0200-000001000000}">
      <formula1>"11,12,21,22,3,4,n/a"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zoomScaleNormal="100" workbookViewId="0"/>
  </sheetViews>
  <sheetFormatPr defaultColWidth="12.6640625" defaultRowHeight="15" customHeight="1" x14ac:dyDescent="0.3"/>
  <cols>
    <col min="1" max="1" width="46.109375" customWidth="1"/>
    <col min="2" max="2" width="89.88671875" customWidth="1"/>
    <col min="3" max="3" width="8.6640625" hidden="1" customWidth="1"/>
    <col min="4" max="4" width="78.6640625" customWidth="1"/>
    <col min="5" max="5" width="55.21875" customWidth="1"/>
    <col min="6" max="26" width="8.6640625" customWidth="1"/>
  </cols>
  <sheetData>
    <row r="1" spans="1:6" ht="18.75" customHeight="1" x14ac:dyDescent="0.3">
      <c r="A1" s="1" t="s">
        <v>56</v>
      </c>
      <c r="B1" s="1"/>
      <c r="C1" s="1"/>
      <c r="D1" s="1"/>
      <c r="E1" s="1"/>
      <c r="F1" s="1"/>
    </row>
    <row r="2" spans="1:6" ht="13.5" customHeight="1" x14ac:dyDescent="0.3">
      <c r="A2" s="4"/>
      <c r="B2" s="4"/>
      <c r="C2" s="4"/>
      <c r="D2" s="4"/>
      <c r="E2" s="4"/>
    </row>
    <row r="3" spans="1:6" ht="15.75" customHeight="1" x14ac:dyDescent="0.3">
      <c r="A3" s="5" t="s">
        <v>57</v>
      </c>
      <c r="B3" s="5" t="s">
        <v>58</v>
      </c>
      <c r="C3" s="5"/>
      <c r="D3" s="5" t="s">
        <v>59</v>
      </c>
      <c r="E3" s="5" t="s">
        <v>60</v>
      </c>
    </row>
    <row r="4" spans="1:6" ht="15.75" customHeight="1" x14ac:dyDescent="0.3">
      <c r="A4" s="6" t="s">
        <v>61</v>
      </c>
      <c r="B4" s="4" t="s">
        <v>62</v>
      </c>
      <c r="C4" s="4"/>
      <c r="D4" s="4" t="s">
        <v>63</v>
      </c>
      <c r="E4" s="4" t="s">
        <v>64</v>
      </c>
    </row>
    <row r="5" spans="1:6" ht="15.75" customHeight="1" x14ac:dyDescent="0.3">
      <c r="A5" s="6" t="s">
        <v>65</v>
      </c>
      <c r="B5" s="4" t="s">
        <v>66</v>
      </c>
      <c r="C5" s="4"/>
      <c r="D5" s="4" t="s">
        <v>67</v>
      </c>
      <c r="E5" s="4" t="s">
        <v>68</v>
      </c>
    </row>
    <row r="6" spans="1:6" ht="15.75" customHeight="1" x14ac:dyDescent="0.3">
      <c r="A6" s="6" t="s">
        <v>69</v>
      </c>
      <c r="B6" s="4" t="s">
        <v>70</v>
      </c>
      <c r="C6" s="4"/>
      <c r="D6" s="4" t="s">
        <v>71</v>
      </c>
      <c r="E6" s="4" t="s">
        <v>64</v>
      </c>
    </row>
    <row r="7" spans="1:6" ht="15.75" customHeight="1" x14ac:dyDescent="0.3">
      <c r="A7" s="6" t="s">
        <v>72</v>
      </c>
      <c r="B7" s="4" t="s">
        <v>73</v>
      </c>
      <c r="C7" s="4"/>
      <c r="D7" s="4" t="s">
        <v>74</v>
      </c>
      <c r="E7" s="4" t="s">
        <v>68</v>
      </c>
    </row>
    <row r="8" spans="1:6" ht="15.75" customHeight="1" x14ac:dyDescent="0.3">
      <c r="A8" s="6" t="s">
        <v>75</v>
      </c>
      <c r="B8" s="4" t="s">
        <v>76</v>
      </c>
      <c r="C8" s="4"/>
      <c r="D8" s="4" t="s">
        <v>77</v>
      </c>
      <c r="E8" s="4" t="s">
        <v>78</v>
      </c>
    </row>
    <row r="9" spans="1:6" ht="15.75" customHeight="1" x14ac:dyDescent="0.3">
      <c r="A9" s="6" t="s">
        <v>48</v>
      </c>
      <c r="B9" s="4" t="s">
        <v>79</v>
      </c>
      <c r="C9" s="4"/>
      <c r="D9" s="4" t="s">
        <v>80</v>
      </c>
      <c r="E9" s="4" t="s">
        <v>81</v>
      </c>
    </row>
    <row r="10" spans="1:6" ht="15.75" customHeight="1" x14ac:dyDescent="0.3">
      <c r="A10" s="6"/>
      <c r="B10" s="4"/>
      <c r="C10" s="4"/>
      <c r="D10" s="4"/>
      <c r="E10" s="4"/>
    </row>
    <row r="11" spans="1:6" ht="15.75" customHeight="1" x14ac:dyDescent="0.3">
      <c r="A11" s="4" t="s">
        <v>82</v>
      </c>
      <c r="B11" s="4"/>
      <c r="C11" s="4"/>
      <c r="D11" s="4"/>
      <c r="E11" s="4"/>
    </row>
    <row r="12" spans="1:6" ht="15.75" customHeight="1" x14ac:dyDescent="0.3">
      <c r="A12" s="13" t="s">
        <v>4</v>
      </c>
      <c r="B12" s="13" t="s">
        <v>83</v>
      </c>
      <c r="C12" s="13"/>
      <c r="D12" s="13"/>
      <c r="E12" s="13"/>
    </row>
    <row r="13" spans="1:6" ht="15.75" customHeight="1" x14ac:dyDescent="0.3">
      <c r="A13" s="4" t="s">
        <v>5</v>
      </c>
      <c r="B13" s="4" t="s">
        <v>84</v>
      </c>
      <c r="C13" s="4"/>
      <c r="D13" s="4"/>
      <c r="E13" s="4"/>
    </row>
    <row r="14" spans="1:6" ht="15.75" customHeight="1" x14ac:dyDescent="0.3">
      <c r="A14" s="4" t="s">
        <v>6</v>
      </c>
      <c r="B14" s="4" t="s">
        <v>85</v>
      </c>
      <c r="C14" s="4"/>
      <c r="D14" s="4"/>
      <c r="E14" s="4"/>
    </row>
    <row r="15" spans="1:6" ht="15.75" customHeight="1" x14ac:dyDescent="0.3">
      <c r="A15" s="4" t="s">
        <v>7</v>
      </c>
      <c r="B15" s="4" t="s">
        <v>86</v>
      </c>
      <c r="C15" s="4"/>
      <c r="D15" s="4"/>
      <c r="E15" s="4"/>
    </row>
    <row r="16" spans="1:6" ht="15.75" customHeight="1" x14ac:dyDescent="0.3">
      <c r="A16" s="4"/>
      <c r="B16" s="4"/>
      <c r="C16" s="4"/>
      <c r="D16" s="4"/>
      <c r="E16" s="4"/>
    </row>
    <row r="17" spans="1:5" ht="15.75" customHeight="1" x14ac:dyDescent="0.3">
      <c r="A17" s="4"/>
      <c r="B17" s="4"/>
      <c r="C17" s="4"/>
      <c r="D17" s="4"/>
      <c r="E17" s="4"/>
    </row>
    <row r="18" spans="1:5" ht="13.5" customHeight="1" x14ac:dyDescent="0.3"/>
    <row r="19" spans="1:5" ht="13.5" customHeight="1" x14ac:dyDescent="0.3"/>
    <row r="20" spans="1:5" ht="13.5" customHeight="1" x14ac:dyDescent="0.3"/>
    <row r="21" spans="1:5" ht="13.5" customHeight="1" x14ac:dyDescent="0.3"/>
    <row r="22" spans="1:5" ht="13.5" customHeight="1" x14ac:dyDescent="0.3"/>
    <row r="23" spans="1:5" ht="13.5" customHeight="1" x14ac:dyDescent="0.3"/>
    <row r="24" spans="1:5" ht="13.5" customHeight="1" x14ac:dyDescent="0.3"/>
    <row r="25" spans="1:5" ht="13.5" customHeight="1" x14ac:dyDescent="0.3"/>
    <row r="26" spans="1:5" ht="13.5" customHeight="1" x14ac:dyDescent="0.3"/>
    <row r="27" spans="1:5" ht="13.5" customHeight="1" x14ac:dyDescent="0.3"/>
    <row r="28" spans="1:5" ht="13.5" customHeight="1" x14ac:dyDescent="0.3"/>
    <row r="29" spans="1:5" ht="13.5" customHeight="1" x14ac:dyDescent="0.3"/>
    <row r="30" spans="1:5" ht="13.5" customHeight="1" x14ac:dyDescent="0.3"/>
    <row r="31" spans="1:5" ht="13.5" customHeight="1" x14ac:dyDescent="0.3"/>
    <row r="32" spans="1:5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  <row r="988" ht="13.5" customHeight="1" x14ac:dyDescent="0.3"/>
    <row r="989" ht="13.5" customHeight="1" x14ac:dyDescent="0.3"/>
    <row r="990" ht="13.5" customHeight="1" x14ac:dyDescent="0.3"/>
    <row r="991" ht="13.5" customHeight="1" x14ac:dyDescent="0.3"/>
    <row r="992" ht="13.5" customHeight="1" x14ac:dyDescent="0.3"/>
    <row r="993" ht="13.5" customHeight="1" x14ac:dyDescent="0.3"/>
    <row r="994" ht="13.5" customHeight="1" x14ac:dyDescent="0.3"/>
    <row r="995" ht="13.5" customHeight="1" x14ac:dyDescent="0.3"/>
    <row r="996" ht="13.5" customHeight="1" x14ac:dyDescent="0.3"/>
    <row r="997" ht="13.5" customHeight="1" x14ac:dyDescent="0.3"/>
    <row r="998" ht="13.5" customHeight="1" x14ac:dyDescent="0.3"/>
    <row r="999" ht="13.5" customHeight="1" x14ac:dyDescent="0.3"/>
    <row r="1000" ht="13.5" customHeight="1" x14ac:dyDescent="0.3"/>
  </sheetData>
  <mergeCells count="1">
    <mergeCell ref="A1:F1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Claude Only</vt:lpstr>
      <vt:lpstr>Comprehend + Claude</vt:lpstr>
      <vt:lpstr>Comprehend Only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Gina Razeghi</dc:creator>
  <dc:description/>
  <cp:lastModifiedBy>Gina Razeghi</cp:lastModifiedBy>
  <cp:revision>0</cp:revision>
  <dcterms:created xsi:type="dcterms:W3CDTF">2026-04-11T21:54:52Z</dcterms:created>
  <dcterms:modified xsi:type="dcterms:W3CDTF">2026-04-12T14:52:40Z</dcterms:modified>
  <dc:language>en-US</dc:language>
</cp:coreProperties>
</file>